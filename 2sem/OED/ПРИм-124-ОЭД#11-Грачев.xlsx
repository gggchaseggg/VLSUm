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gchaseggg\WebstormProjects\VLSUm\2sem\OED\"/>
    </mc:Choice>
  </mc:AlternateContent>
  <xr:revisionPtr revIDLastSave="0" documentId="13_ncr:1_{31EE44F3-60F4-442E-B9C4-FE529EE02D9C}" xr6:coauthVersionLast="47" xr6:coauthVersionMax="47" xr10:uidLastSave="{00000000-0000-0000-0000-000000000000}"/>
  <bookViews>
    <workbookView xWindow="51480" yWindow="-120" windowWidth="16440" windowHeight="28590" xr2:uid="{E948CA99-A8AC-43FA-8B75-305867384536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I6" i="1"/>
  <c r="I5" i="1"/>
  <c r="I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B29" i="1"/>
  <c r="E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" i="1"/>
  <c r="B28" i="1"/>
  <c r="B27" i="1"/>
  <c r="I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<sst xmlns="http://schemas.openxmlformats.org/spreadsheetml/2006/main" count="20" uniqueCount="20">
  <si>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Месяцы</t>
  </si>
  <si>
    <t>Случаи заболевания</t>
  </si>
  <si>
    <t>Сумма</t>
  </si>
  <si>
    <t>Среднее</t>
  </si>
  <si>
    <t>С нарастающим итогом</t>
  </si>
  <si>
    <t>Количество</t>
  </si>
  <si>
    <t>a</t>
  </si>
  <si>
    <t>b</t>
  </si>
  <si>
    <t>Avt</t>
  </si>
  <si>
    <t>L</t>
  </si>
  <si>
    <t>Ut</t>
  </si>
  <si>
    <t>Vt+et</t>
  </si>
  <si>
    <t>Vt</t>
  </si>
  <si>
    <t>et</t>
  </si>
  <si>
    <t>MAE</t>
  </si>
  <si>
    <t>MAPE</t>
  </si>
  <si>
    <t>R</t>
  </si>
  <si>
    <t>S</t>
  </si>
  <si>
    <t>R/S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</si>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</sst>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10" fontId="1" fillId="0" borderId="1" xfId="0" applyNumberFormat="1" applyFont="1" applyBorder="1"/>
    <xf numFmtId="2" fontId="1" fillId="0" borderId="0" xfId="0" applyNumberFormat="1" applyFont="1"/>
    <xf numFmtId="1" fontId="1" fillId="0" borderId="1" xfId="0" applyNumberFormat="1" applyFont="1" applyBorder="1"/>
    <xf numFmtId="0" fontId="0" fillId="0" borderId="2" xfId="0" applyBorder="1"/>
    <xf numFmtId="2" fontId="1" fillId="0" borderId="2" xfId="0" applyNumberFormat="1" applyFont="1" applyBorder="1"/>
    <xf numFmtId="2" fontId="0" fillId="0" borderId="2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Случаи заболевания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Лист1!$B$2:$B$24</c:f>
              <c:numCache>
                <c:formatCode>General</c:formatCode>
                <c:ptCount val="23"/>
                <c:pt idx="0">
                  <c:v>7</c:v>
                </c:pt>
                <c:pt idx="1">
                  <c:v>7.9</c:v>
                </c:pt>
                <c:pt idx="2">
                  <c:v>2.5</c:v>
                </c:pt>
                <c:pt idx="3">
                  <c:v>4.7</c:v>
                </c:pt>
                <c:pt idx="4">
                  <c:v>2.5</c:v>
                </c:pt>
                <c:pt idx="5">
                  <c:v>3.2</c:v>
                </c:pt>
                <c:pt idx="6">
                  <c:v>3.6</c:v>
                </c:pt>
                <c:pt idx="7">
                  <c:v>3.8</c:v>
                </c:pt>
                <c:pt idx="8">
                  <c:v>3.3</c:v>
                </c:pt>
                <c:pt idx="9">
                  <c:v>5.4</c:v>
                </c:pt>
                <c:pt idx="10">
                  <c:v>5.0999999999999996</c:v>
                </c:pt>
                <c:pt idx="11">
                  <c:v>3.2</c:v>
                </c:pt>
                <c:pt idx="12">
                  <c:v>3.4</c:v>
                </c:pt>
                <c:pt idx="13">
                  <c:v>3.9</c:v>
                </c:pt>
                <c:pt idx="14">
                  <c:v>6.3</c:v>
                </c:pt>
                <c:pt idx="15">
                  <c:v>5.5</c:v>
                </c:pt>
                <c:pt idx="16">
                  <c:v>2.8</c:v>
                </c:pt>
                <c:pt idx="17">
                  <c:v>9</c:v>
                </c:pt>
                <c:pt idx="18">
                  <c:v>5.2</c:v>
                </c:pt>
                <c:pt idx="19">
                  <c:v>4.5999999999999996</c:v>
                </c:pt>
                <c:pt idx="20">
                  <c:v>5.8</c:v>
                </c:pt>
                <c:pt idx="21">
                  <c:v>6</c:v>
                </c:pt>
                <c:pt idx="2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3-4987-9228-1D7740149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84720"/>
        <c:axId val="338285136"/>
      </c:lineChart>
      <c:catAx>
        <c:axId val="33828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285136"/>
        <c:crosses val="autoZero"/>
        <c:auto val="1"/>
        <c:lblAlgn val="ctr"/>
        <c:lblOffset val="100"/>
        <c:noMultiLvlLbl val="0"/>
      </c:catAx>
      <c:valAx>
        <c:axId val="33828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Случаи заболевания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28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Центрированный</a:t>
            </a:r>
            <a:r>
              <a:rPr lang="ru-RU" baseline="0"/>
              <a:t> временной ряд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Лист1!$D$2:$D$24</c:f>
              <c:numCache>
                <c:formatCode>0.00</c:formatCode>
                <c:ptCount val="23"/>
                <c:pt idx="0">
                  <c:v>-2.7826086956521747</c:v>
                </c:pt>
                <c:pt idx="1">
                  <c:v>-3.6312252964426888</c:v>
                </c:pt>
                <c:pt idx="2">
                  <c:v>1.820158102766797</c:v>
                </c:pt>
                <c:pt idx="3">
                  <c:v>-0.32845849802371685</c:v>
                </c:pt>
                <c:pt idx="4">
                  <c:v>1.9229249011857696</c:v>
                </c:pt>
                <c:pt idx="5">
                  <c:v>1.2743083003952558</c:v>
                </c:pt>
                <c:pt idx="6">
                  <c:v>0.92569169960474218</c:v>
                </c:pt>
                <c:pt idx="7">
                  <c:v>0.77707509881422876</c:v>
                </c:pt>
                <c:pt idx="8">
                  <c:v>1.3284584980237142</c:v>
                </c:pt>
                <c:pt idx="9">
                  <c:v>-0.72015810276680003</c:v>
                </c:pt>
                <c:pt idx="10">
                  <c:v>-0.36877470355731301</c:v>
                </c:pt>
                <c:pt idx="11">
                  <c:v>1.5826086956521728</c:v>
                </c:pt>
                <c:pt idx="12">
                  <c:v>1.4339920948616593</c:v>
                </c:pt>
                <c:pt idx="13">
                  <c:v>0.98537549407114478</c:v>
                </c:pt>
                <c:pt idx="14">
                  <c:v>-1.3632411067193688</c:v>
                </c:pt>
                <c:pt idx="15">
                  <c:v>-0.51185770750988269</c:v>
                </c:pt>
                <c:pt idx="16">
                  <c:v>2.2395256916996038</c:v>
                </c:pt>
                <c:pt idx="17">
                  <c:v>-3.9090909090909101</c:v>
                </c:pt>
                <c:pt idx="18">
                  <c:v>-5.7707509881423924E-2</c:v>
                </c:pt>
                <c:pt idx="19">
                  <c:v>0.59367588932806292</c:v>
                </c:pt>
                <c:pt idx="20">
                  <c:v>-0.55494071146245183</c:v>
                </c:pt>
                <c:pt idx="21">
                  <c:v>-0.70355731225296569</c:v>
                </c:pt>
                <c:pt idx="22">
                  <c:v>4.7826086956520797E-2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0-4448-8890-477B248F6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810368"/>
        <c:axId val="218242512"/>
      </c:lineChart>
      <c:catAx>
        <c:axId val="217810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242512"/>
        <c:crosses val="autoZero"/>
        <c:auto val="1"/>
        <c:lblAlgn val="ctr"/>
        <c:lblOffset val="100"/>
        <c:noMultiLvlLbl val="0"/>
      </c:catAx>
      <c:valAx>
        <c:axId val="21824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781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Центрированный</a:t>
            </a:r>
            <a:r>
              <a:rPr lang="ru-RU" baseline="0"/>
              <a:t> временной ряд с наложением гармонической компоненты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Лист1!$D$2:$D$24</c:f>
              <c:numCache>
                <c:formatCode>0.00</c:formatCode>
                <c:ptCount val="23"/>
                <c:pt idx="0">
                  <c:v>-2.7826086956521747</c:v>
                </c:pt>
                <c:pt idx="1">
                  <c:v>-3.6312252964426888</c:v>
                </c:pt>
                <c:pt idx="2">
                  <c:v>1.820158102766797</c:v>
                </c:pt>
                <c:pt idx="3">
                  <c:v>-0.32845849802371685</c:v>
                </c:pt>
                <c:pt idx="4">
                  <c:v>1.9229249011857696</c:v>
                </c:pt>
                <c:pt idx="5">
                  <c:v>1.2743083003952558</c:v>
                </c:pt>
                <c:pt idx="6">
                  <c:v>0.92569169960474218</c:v>
                </c:pt>
                <c:pt idx="7">
                  <c:v>0.77707509881422876</c:v>
                </c:pt>
                <c:pt idx="8">
                  <c:v>1.3284584980237142</c:v>
                </c:pt>
                <c:pt idx="9">
                  <c:v>-0.72015810276680003</c:v>
                </c:pt>
                <c:pt idx="10">
                  <c:v>-0.36877470355731301</c:v>
                </c:pt>
                <c:pt idx="11">
                  <c:v>1.5826086956521728</c:v>
                </c:pt>
                <c:pt idx="12">
                  <c:v>1.4339920948616593</c:v>
                </c:pt>
                <c:pt idx="13">
                  <c:v>0.98537549407114478</c:v>
                </c:pt>
                <c:pt idx="14">
                  <c:v>-1.3632411067193688</c:v>
                </c:pt>
                <c:pt idx="15">
                  <c:v>-0.51185770750988269</c:v>
                </c:pt>
                <c:pt idx="16">
                  <c:v>2.2395256916996038</c:v>
                </c:pt>
                <c:pt idx="17">
                  <c:v>-3.9090909090909101</c:v>
                </c:pt>
                <c:pt idx="18">
                  <c:v>-5.7707509881423924E-2</c:v>
                </c:pt>
                <c:pt idx="19">
                  <c:v>0.59367588932806292</c:v>
                </c:pt>
                <c:pt idx="20">
                  <c:v>-0.55494071146245183</c:v>
                </c:pt>
                <c:pt idx="21">
                  <c:v>-0.70355731225296569</c:v>
                </c:pt>
                <c:pt idx="22">
                  <c:v>4.7826086956520797E-2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C4-45D4-9EAC-B6E4D135303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Лист1!$E$2:$E$24</c:f>
              <c:numCache>
                <c:formatCode>0.00</c:formatCode>
                <c:ptCount val="23"/>
                <c:pt idx="0">
                  <c:v>-1.6181718969803576</c:v>
                </c:pt>
                <c:pt idx="1">
                  <c:v>-1.16171579394806</c:v>
                </c:pt>
                <c:pt idx="2">
                  <c:v>-0.39397888209289844</c:v>
                </c:pt>
                <c:pt idx="3">
                  <c:v>0.47932435305397048</c:v>
                </c:pt>
                <c:pt idx="4">
                  <c:v>1.2241930148874589</c:v>
                </c:pt>
                <c:pt idx="5">
                  <c:v>1.641040147002031</c:v>
                </c:pt>
                <c:pt idx="6">
                  <c:v>1.618171896980358</c:v>
                </c:pt>
                <c:pt idx="7">
                  <c:v>1.1617157939480613</c:v>
                </c:pt>
                <c:pt idx="8">
                  <c:v>0.39397888209289866</c:v>
                </c:pt>
                <c:pt idx="9">
                  <c:v>-0.47932435305397014</c:v>
                </c:pt>
                <c:pt idx="10">
                  <c:v>-1.2241930148874598</c:v>
                </c:pt>
                <c:pt idx="11">
                  <c:v>-1.6410401470020308</c:v>
                </c:pt>
                <c:pt idx="12">
                  <c:v>-1.618171896980358</c:v>
                </c:pt>
                <c:pt idx="13">
                  <c:v>-1.1617157939480613</c:v>
                </c:pt>
                <c:pt idx="14">
                  <c:v>-0.39397888209290177</c:v>
                </c:pt>
                <c:pt idx="15">
                  <c:v>0.47932435305396998</c:v>
                </c:pt>
                <c:pt idx="16">
                  <c:v>1.2241930148874576</c:v>
                </c:pt>
                <c:pt idx="17">
                  <c:v>1.6410401470020308</c:v>
                </c:pt>
                <c:pt idx="18">
                  <c:v>1.6181718969803582</c:v>
                </c:pt>
                <c:pt idx="19">
                  <c:v>1.1617157939480616</c:v>
                </c:pt>
                <c:pt idx="20">
                  <c:v>0.39397888209289905</c:v>
                </c:pt>
                <c:pt idx="21">
                  <c:v>-0.47932435305396981</c:v>
                </c:pt>
                <c:pt idx="22">
                  <c:v>-1.2241930148874554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C4-45D4-9EAC-B6E4D1353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784928"/>
        <c:axId val="1037783264"/>
      </c:lineChart>
      <c:catAx>
        <c:axId val="103778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7783264"/>
        <c:crosses val="autoZero"/>
        <c:auto val="1"/>
        <c:lblAlgn val="ctr"/>
        <c:lblOffset val="100"/>
        <c:noMultiLvlLbl val="0"/>
      </c:catAx>
      <c:valAx>
        <c:axId val="103778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778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Случайная</a:t>
            </a:r>
            <a:r>
              <a:rPr lang="ru-RU" baseline="0"/>
              <a:t> компонента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Лист1!$F$2:$F$24</c:f>
              <c:numCache>
                <c:formatCode>0.00</c:formatCode>
                <c:ptCount val="23"/>
                <c:pt idx="0">
                  <c:v>1.1644367986718172</c:v>
                </c:pt>
                <c:pt idx="1">
                  <c:v>2.4695095024946285</c:v>
                </c:pt>
                <c:pt idx="2">
                  <c:v>-2.2141369848596955</c:v>
                </c:pt>
                <c:pt idx="3">
                  <c:v>0.80778285107768732</c:v>
                </c:pt>
                <c:pt idx="4">
                  <c:v>-0.69873188629831073</c:v>
                </c:pt>
                <c:pt idx="5">
                  <c:v>0.36673184660677527</c:v>
                </c:pt>
                <c:pt idx="6">
                  <c:v>0.69248019737561584</c:v>
                </c:pt>
                <c:pt idx="7">
                  <c:v>0.38464069513383259</c:v>
                </c:pt>
                <c:pt idx="8">
                  <c:v>-0.93447961593081552</c:v>
                </c:pt>
                <c:pt idx="9">
                  <c:v>0.24083374971282989</c:v>
                </c:pt>
                <c:pt idx="10">
                  <c:v>-0.85541831133014679</c:v>
                </c:pt>
                <c:pt idx="11">
                  <c:v>-3.2236488426542036</c:v>
                </c:pt>
                <c:pt idx="12">
                  <c:v>-3.0521639918420176</c:v>
                </c:pt>
                <c:pt idx="13">
                  <c:v>-2.1470912880192063</c:v>
                </c:pt>
                <c:pt idx="14">
                  <c:v>0.96926222462646705</c:v>
                </c:pt>
                <c:pt idx="15">
                  <c:v>0.99118206056385261</c:v>
                </c:pt>
                <c:pt idx="16">
                  <c:v>-1.0153326768121462</c:v>
                </c:pt>
                <c:pt idx="17">
                  <c:v>5.5501310560929404</c:v>
                </c:pt>
                <c:pt idx="18">
                  <c:v>1.6758794068617822</c:v>
                </c:pt>
                <c:pt idx="19">
                  <c:v>0.56803990461999865</c:v>
                </c:pt>
                <c:pt idx="20">
                  <c:v>0.94891959355535094</c:v>
                </c:pt>
                <c:pt idx="21">
                  <c:v>0.22423295919899588</c:v>
                </c:pt>
                <c:pt idx="22">
                  <c:v>-1.2720191018439762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10-4330-BEB8-2427AA74A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212608"/>
        <c:axId val="1016211360"/>
      </c:lineChart>
      <c:catAx>
        <c:axId val="101621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6211360"/>
        <c:crosses val="autoZero"/>
        <c:auto val="1"/>
        <c:lblAlgn val="ctr"/>
        <c:lblOffset val="100"/>
        <c:noMultiLvlLbl val="0"/>
      </c:catAx>
      <c:valAx>
        <c:axId val="10162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621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30</xdr:row>
      <xdr:rowOff>166687</xdr:rowOff>
    </xdr:from>
    <xdr:to>
      <xdr:col>6</xdr:col>
      <xdr:colOff>295275</xdr:colOff>
      <xdr:row>45</xdr:row>
      <xdr:rowOff>52387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EAD7BF-2A80-4098-A2FC-685C39805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46</xdr:row>
      <xdr:rowOff>23812</xdr:rowOff>
    </xdr:from>
    <xdr:to>
      <xdr:col>6</xdr:col>
      <xdr:colOff>361950</xdr:colOff>
      <xdr:row>60</xdr:row>
      <xdr:rowOff>100012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645C671-C27B-4B52-8BD1-9765A8CCD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533400</xdr:colOff>
      <xdr:row>30</xdr:row>
      <xdr:rowOff>185737</xdr:rowOff>
    </xdr:from>
    <xdr:to>
      <xdr:col>14</xdr:col>
      <xdr:colOff>228600</xdr:colOff>
      <xdr:row>45</xdr:row>
      <xdr:rowOff>71437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D23A9FF-C561-4333-8AB7-50209AF44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552450</xdr:colOff>
      <xdr:row>46</xdr:row>
      <xdr:rowOff>52387</xdr:rowOff>
    </xdr:from>
    <xdr:to>
      <xdr:col>14</xdr:col>
      <xdr:colOff>247650</xdr:colOff>
      <xdr:row>60</xdr:row>
      <xdr:rowOff>128587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4C1B591-0AFA-417F-B835-E59CF0053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ggchaseggg/Downloads/&#1055;&#1056;&#1048;&#1084;124-&#1054;&#1069;&#1044;%2311-&#1057;&#1091;&#1073;&#1073;&#1086;&#1090;&#1080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B2">
            <v>1</v>
          </cell>
          <cell r="E2">
            <v>-7.9707602339180994</v>
          </cell>
        </row>
        <row r="3">
          <cell r="B3">
            <v>2</v>
          </cell>
          <cell r="E3">
            <v>-50.261781905744556</v>
          </cell>
        </row>
        <row r="4">
          <cell r="B4">
            <v>3</v>
          </cell>
          <cell r="E4">
            <v>-54.55280357757124</v>
          </cell>
        </row>
        <row r="5">
          <cell r="B5">
            <v>4</v>
          </cell>
          <cell r="E5">
            <v>-4.8438252493979235</v>
          </cell>
        </row>
        <row r="6">
          <cell r="B6">
            <v>5</v>
          </cell>
          <cell r="E6">
            <v>18.865153078775393</v>
          </cell>
        </row>
        <row r="7">
          <cell r="B7">
            <v>6</v>
          </cell>
          <cell r="E7">
            <v>-19.425868593051064</v>
          </cell>
        </row>
        <row r="8">
          <cell r="B8">
            <v>7</v>
          </cell>
          <cell r="E8">
            <v>0.28310973512225246</v>
          </cell>
        </row>
        <row r="9">
          <cell r="B9">
            <v>8</v>
          </cell>
          <cell r="E9">
            <v>5.9920880632955686</v>
          </cell>
        </row>
        <row r="10">
          <cell r="B10">
            <v>9</v>
          </cell>
          <cell r="E10">
            <v>99.701066391468885</v>
          </cell>
        </row>
        <row r="11">
          <cell r="B11">
            <v>10</v>
          </cell>
          <cell r="E11">
            <v>51.410044719642428</v>
          </cell>
        </row>
        <row r="12">
          <cell r="B12">
            <v>11</v>
          </cell>
          <cell r="E12">
            <v>54.119023047815745</v>
          </cell>
        </row>
        <row r="13">
          <cell r="B13">
            <v>12</v>
          </cell>
          <cell r="E13">
            <v>11.828001375989061</v>
          </cell>
        </row>
        <row r="14">
          <cell r="B14">
            <v>13</v>
          </cell>
          <cell r="E14">
            <v>-13.463020295837623</v>
          </cell>
        </row>
        <row r="15">
          <cell r="B15">
            <v>14</v>
          </cell>
          <cell r="E15">
            <v>31.245958032335921</v>
          </cell>
        </row>
        <row r="16">
          <cell r="B16">
            <v>15</v>
          </cell>
          <cell r="E16">
            <v>-26.045063639490763</v>
          </cell>
        </row>
        <row r="17">
          <cell r="B17">
            <v>16</v>
          </cell>
          <cell r="E17">
            <v>-18.336085311317447</v>
          </cell>
        </row>
        <row r="18">
          <cell r="B18">
            <v>17</v>
          </cell>
          <cell r="E18">
            <v>49.372893016855869</v>
          </cell>
        </row>
        <row r="19">
          <cell r="B19">
            <v>18</v>
          </cell>
          <cell r="E19">
            <v>-127.91812865497059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7B57-1D84-48B6-9750-F995514FA4E9}">
  <dimension ref="A1:I30"/>
  <sheetViews>
    <sheetView tabSelected="1" workbookViewId="0">
      <selection activeCell="J14" sqref="J14"/>
    </sheetView>
  </sheetViews>
  <sheetFormatPr defaultRowHeight="15" x14ac:dyDescent="0.25"/>
  <cols>
    <col min="2" max="2" width="19.85546875" bestFit="1" customWidth="1"/>
  </cols>
  <sheetData>
    <row r="1" spans="1:9" x14ac:dyDescent="0.25">
      <c r="A1" s="6" t="s">
        <v>0</v>
      </c>
      <c r="B1" s="6" t="s">
        <v>1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9" x14ac:dyDescent="0.25">
      <c r="A2" s="6">
        <v>1</v>
      </c>
      <c r="B2" s="6">
        <v>7</v>
      </c>
      <c r="C2" s="7">
        <f>$B$28+$B$27*A2</f>
        <v>4.2173913043478253</v>
      </c>
      <c r="D2" s="8">
        <f>C2-B2</f>
        <v>-2.7826086956521747</v>
      </c>
      <c r="E2" s="8">
        <f>$B$29*SIN(((2*PI())/$B$30)*A2+(2*PI()*2.85)/4)</f>
        <v>-1.6181718969803576</v>
      </c>
      <c r="F2" s="8">
        <f>E2-D2</f>
        <v>1.1644367986718172</v>
      </c>
      <c r="H2" s="2" t="s">
        <v>14</v>
      </c>
      <c r="I2" s="2" cm="1">
        <f t="array" ref="I2">AVERAGE(ABS(F2:F24))</f>
        <v>1.4116124150514389</v>
      </c>
    </row>
    <row r="3" spans="1:9" x14ac:dyDescent="0.25">
      <c r="A3" s="6">
        <v>2</v>
      </c>
      <c r="B3" s="6">
        <v>7.9</v>
      </c>
      <c r="C3" s="7">
        <f t="shared" ref="C3:C24" si="0">$B$28+$B$27*A3</f>
        <v>4.2687747035573116</v>
      </c>
      <c r="D3" s="8">
        <f t="shared" ref="D3:D24" si="1">C3-B3</f>
        <v>-3.6312252964426888</v>
      </c>
      <c r="E3" s="8">
        <f t="shared" ref="E3:E24" si="2">$B$29*SIN(((2*PI())/$B$30)*A3+(2*PI()*2.85)/4)</f>
        <v>-1.16171579394806</v>
      </c>
      <c r="F3" s="8">
        <f t="shared" ref="F3:F24" si="3">E3-D3</f>
        <v>2.4695095024946285</v>
      </c>
      <c r="H3" s="1" t="s">
        <v>15</v>
      </c>
      <c r="I3" s="3">
        <v>0.16569999999999999</v>
      </c>
    </row>
    <row r="4" spans="1:9" x14ac:dyDescent="0.25">
      <c r="A4" s="6">
        <v>3</v>
      </c>
      <c r="B4" s="6">
        <v>2.5</v>
      </c>
      <c r="C4" s="7">
        <f t="shared" si="0"/>
        <v>4.320158102766797</v>
      </c>
      <c r="D4" s="8">
        <f t="shared" si="1"/>
        <v>1.820158102766797</v>
      </c>
      <c r="E4" s="8">
        <f t="shared" si="2"/>
        <v>-0.39397888209289844</v>
      </c>
      <c r="F4" s="8">
        <f t="shared" si="3"/>
        <v>-2.2141369848596955</v>
      </c>
      <c r="H4" s="4"/>
      <c r="I4" s="4"/>
    </row>
    <row r="5" spans="1:9" x14ac:dyDescent="0.25">
      <c r="A5" s="6">
        <v>4</v>
      </c>
      <c r="B5" s="6">
        <v>4.7</v>
      </c>
      <c r="C5" s="7">
        <f t="shared" si="0"/>
        <v>4.3715415019762833</v>
      </c>
      <c r="D5" s="8">
        <f t="shared" si="1"/>
        <v>-0.32845849802371685</v>
      </c>
      <c r="E5" s="8">
        <f t="shared" si="2"/>
        <v>0.47932435305397048</v>
      </c>
      <c r="F5" s="8">
        <f t="shared" si="3"/>
        <v>0.80778285107768732</v>
      </c>
      <c r="H5" s="2" t="s">
        <v>16</v>
      </c>
      <c r="I5" s="2">
        <f>MAX(F2:F24)-MIN(F2:F24)</f>
        <v>8.7737798987471436</v>
      </c>
    </row>
    <row r="6" spans="1:9" x14ac:dyDescent="0.25">
      <c r="A6" s="6">
        <v>5</v>
      </c>
      <c r="B6" s="6">
        <v>2.5</v>
      </c>
      <c r="C6" s="7">
        <f t="shared" si="0"/>
        <v>4.4229249011857696</v>
      </c>
      <c r="D6" s="8">
        <f t="shared" si="1"/>
        <v>1.9229249011857696</v>
      </c>
      <c r="E6" s="8">
        <f t="shared" si="2"/>
        <v>1.2241930148874589</v>
      </c>
      <c r="F6" s="8">
        <f t="shared" si="3"/>
        <v>-0.69873188629831073</v>
      </c>
      <c r="H6" s="2" t="s">
        <v>17</v>
      </c>
      <c r="I6" s="2">
        <f>STDEV(F2:F24)</f>
        <v>1.9019104571663543</v>
      </c>
    </row>
    <row r="7" spans="1:9" x14ac:dyDescent="0.25">
      <c r="A7" s="6">
        <v>6</v>
      </c>
      <c r="B7" s="6">
        <v>3.2</v>
      </c>
      <c r="C7" s="7">
        <f t="shared" si="0"/>
        <v>4.474308300395256</v>
      </c>
      <c r="D7" s="8">
        <f t="shared" si="1"/>
        <v>1.2743083003952558</v>
      </c>
      <c r="E7" s="8">
        <f t="shared" si="2"/>
        <v>1.641040147002031</v>
      </c>
      <c r="F7" s="8">
        <f t="shared" si="3"/>
        <v>0.36673184660677527</v>
      </c>
      <c r="H7" s="2" t="s">
        <v>18</v>
      </c>
      <c r="I7" s="2">
        <f>I5/I6</f>
        <v>4.6131403640417163</v>
      </c>
    </row>
    <row r="8" spans="1:9" x14ac:dyDescent="0.25">
      <c r="A8" s="6">
        <v>7</v>
      </c>
      <c r="B8" s="6">
        <v>3.6</v>
      </c>
      <c r="C8" s="7">
        <f t="shared" si="0"/>
        <v>4.5256916996047423</v>
      </c>
      <c r="D8" s="8">
        <f t="shared" si="1"/>
        <v>0.92569169960474218</v>
      </c>
      <c r="E8" s="8">
        <f t="shared" si="2"/>
        <v>1.618171896980358</v>
      </c>
      <c r="F8" s="8">
        <f t="shared" si="3"/>
        <v>0.69248019737561584</v>
      </c>
      <c r="H8" s="1" t="s">
        <v>19</v>
      </c>
      <c r="I8" s="5">
        <f>ABS((2*(18-2))/3-(2*SQRT(16*18-29)/90))</f>
        <v>10.30903384579042</v>
      </c>
    </row>
    <row r="9" spans="1:9" x14ac:dyDescent="0.25">
      <c r="A9" s="6">
        <v>8</v>
      </c>
      <c r="B9" s="6">
        <v>3.8</v>
      </c>
      <c r="C9" s="7">
        <f t="shared" si="0"/>
        <v>4.5770750988142286</v>
      </c>
      <c r="D9" s="8">
        <f t="shared" si="1"/>
        <v>0.77707509881422876</v>
      </c>
      <c r="E9" s="8">
        <f t="shared" si="2"/>
        <v>1.1617157939480613</v>
      </c>
      <c r="F9" s="8">
        <f t="shared" si="3"/>
        <v>0.38464069513383259</v>
      </c>
    </row>
    <row r="10" spans="1:9" x14ac:dyDescent="0.25">
      <c r="A10" s="6">
        <v>9</v>
      </c>
      <c r="B10" s="6">
        <v>3.3</v>
      </c>
      <c r="C10" s="7">
        <f t="shared" si="0"/>
        <v>4.628458498023714</v>
      </c>
      <c r="D10" s="8">
        <f t="shared" si="1"/>
        <v>1.3284584980237142</v>
      </c>
      <c r="E10" s="8">
        <f t="shared" si="2"/>
        <v>0.39397888209289866</v>
      </c>
      <c r="F10" s="8">
        <f t="shared" si="3"/>
        <v>-0.93447961593081552</v>
      </c>
    </row>
    <row r="11" spans="1:9" x14ac:dyDescent="0.25">
      <c r="A11" s="6">
        <v>10</v>
      </c>
      <c r="B11" s="6">
        <v>5.4</v>
      </c>
      <c r="C11" s="7">
        <f t="shared" si="0"/>
        <v>4.6798418972332003</v>
      </c>
      <c r="D11" s="8">
        <f t="shared" si="1"/>
        <v>-0.72015810276680003</v>
      </c>
      <c r="E11" s="8">
        <f t="shared" si="2"/>
        <v>-0.47932435305397014</v>
      </c>
      <c r="F11" s="8">
        <f t="shared" si="3"/>
        <v>0.24083374971282989</v>
      </c>
    </row>
    <row r="12" spans="1:9" x14ac:dyDescent="0.25">
      <c r="A12" s="6">
        <v>11</v>
      </c>
      <c r="B12" s="6">
        <v>5.0999999999999996</v>
      </c>
      <c r="C12" s="7">
        <f t="shared" si="0"/>
        <v>4.7312252964426866</v>
      </c>
      <c r="D12" s="8">
        <f t="shared" si="1"/>
        <v>-0.36877470355731301</v>
      </c>
      <c r="E12" s="8">
        <f t="shared" si="2"/>
        <v>-1.2241930148874598</v>
      </c>
      <c r="F12" s="8">
        <f t="shared" si="3"/>
        <v>-0.85541831133014679</v>
      </c>
    </row>
    <row r="13" spans="1:9" x14ac:dyDescent="0.25">
      <c r="A13" s="6">
        <v>12</v>
      </c>
      <c r="B13" s="6">
        <v>3.2</v>
      </c>
      <c r="C13" s="7">
        <f t="shared" si="0"/>
        <v>4.7826086956521729</v>
      </c>
      <c r="D13" s="8">
        <f t="shared" si="1"/>
        <v>1.5826086956521728</v>
      </c>
      <c r="E13" s="8">
        <f t="shared" si="2"/>
        <v>-1.6410401470020308</v>
      </c>
      <c r="F13" s="8">
        <f t="shared" si="3"/>
        <v>-3.2236488426542036</v>
      </c>
    </row>
    <row r="14" spans="1:9" x14ac:dyDescent="0.25">
      <c r="A14" s="6">
        <v>13</v>
      </c>
      <c r="B14" s="6">
        <v>3.4</v>
      </c>
      <c r="C14" s="7">
        <f t="shared" si="0"/>
        <v>4.8339920948616593</v>
      </c>
      <c r="D14" s="8">
        <f t="shared" si="1"/>
        <v>1.4339920948616593</v>
      </c>
      <c r="E14" s="8">
        <f t="shared" si="2"/>
        <v>-1.618171896980358</v>
      </c>
      <c r="F14" s="8">
        <f t="shared" si="3"/>
        <v>-3.0521639918420176</v>
      </c>
    </row>
    <row r="15" spans="1:9" x14ac:dyDescent="0.25">
      <c r="A15" s="6">
        <v>14</v>
      </c>
      <c r="B15" s="6">
        <v>3.9</v>
      </c>
      <c r="C15" s="7">
        <f t="shared" si="0"/>
        <v>4.8853754940711447</v>
      </c>
      <c r="D15" s="8">
        <f t="shared" si="1"/>
        <v>0.98537549407114478</v>
      </c>
      <c r="E15" s="8">
        <f t="shared" si="2"/>
        <v>-1.1617157939480613</v>
      </c>
      <c r="F15" s="8">
        <f t="shared" si="3"/>
        <v>-2.1470912880192063</v>
      </c>
    </row>
    <row r="16" spans="1:9" x14ac:dyDescent="0.25">
      <c r="A16" s="6">
        <v>15</v>
      </c>
      <c r="B16" s="6">
        <v>6.3</v>
      </c>
      <c r="C16" s="7">
        <f t="shared" si="0"/>
        <v>4.936758893280631</v>
      </c>
      <c r="D16" s="8">
        <f t="shared" si="1"/>
        <v>-1.3632411067193688</v>
      </c>
      <c r="E16" s="8">
        <f t="shared" si="2"/>
        <v>-0.39397888209290177</v>
      </c>
      <c r="F16" s="8">
        <f t="shared" si="3"/>
        <v>0.96926222462646705</v>
      </c>
    </row>
    <row r="17" spans="1:6" x14ac:dyDescent="0.25">
      <c r="A17" s="6">
        <v>16</v>
      </c>
      <c r="B17" s="6">
        <v>5.5</v>
      </c>
      <c r="C17" s="7">
        <f t="shared" si="0"/>
        <v>4.9881422924901173</v>
      </c>
      <c r="D17" s="8">
        <f t="shared" si="1"/>
        <v>-0.51185770750988269</v>
      </c>
      <c r="E17" s="8">
        <f t="shared" si="2"/>
        <v>0.47932435305396998</v>
      </c>
      <c r="F17" s="8">
        <f t="shared" si="3"/>
        <v>0.99118206056385261</v>
      </c>
    </row>
    <row r="18" spans="1:6" x14ac:dyDescent="0.25">
      <c r="A18" s="6">
        <v>17</v>
      </c>
      <c r="B18" s="6">
        <v>2.8</v>
      </c>
      <c r="C18" s="7">
        <f t="shared" si="0"/>
        <v>5.0395256916996036</v>
      </c>
      <c r="D18" s="8">
        <f t="shared" si="1"/>
        <v>2.2395256916996038</v>
      </c>
      <c r="E18" s="8">
        <f t="shared" si="2"/>
        <v>1.2241930148874576</v>
      </c>
      <c r="F18" s="8">
        <f t="shared" si="3"/>
        <v>-1.0153326768121462</v>
      </c>
    </row>
    <row r="19" spans="1:6" x14ac:dyDescent="0.25">
      <c r="A19" s="6">
        <v>18</v>
      </c>
      <c r="B19" s="6">
        <v>9</v>
      </c>
      <c r="C19" s="7">
        <f t="shared" si="0"/>
        <v>5.0909090909090899</v>
      </c>
      <c r="D19" s="8">
        <f t="shared" si="1"/>
        <v>-3.9090909090909101</v>
      </c>
      <c r="E19" s="8">
        <f t="shared" si="2"/>
        <v>1.6410401470020308</v>
      </c>
      <c r="F19" s="8">
        <f t="shared" si="3"/>
        <v>5.5501310560929404</v>
      </c>
    </row>
    <row r="20" spans="1:6" x14ac:dyDescent="0.25">
      <c r="A20" s="6">
        <v>19</v>
      </c>
      <c r="B20" s="6">
        <v>5.2</v>
      </c>
      <c r="C20" s="7">
        <f t="shared" si="0"/>
        <v>5.1422924901185763</v>
      </c>
      <c r="D20" s="8">
        <f t="shared" si="1"/>
        <v>-5.7707509881423924E-2</v>
      </c>
      <c r="E20" s="8">
        <f t="shared" si="2"/>
        <v>1.6181718969803582</v>
      </c>
      <c r="F20" s="8">
        <f t="shared" si="3"/>
        <v>1.6758794068617822</v>
      </c>
    </row>
    <row r="21" spans="1:6" x14ac:dyDescent="0.25">
      <c r="A21" s="6">
        <v>20</v>
      </c>
      <c r="B21" s="6">
        <v>4.5999999999999996</v>
      </c>
      <c r="C21" s="7">
        <f t="shared" si="0"/>
        <v>5.1936758893280626</v>
      </c>
      <c r="D21" s="8">
        <f t="shared" si="1"/>
        <v>0.59367588932806292</v>
      </c>
      <c r="E21" s="8">
        <f t="shared" si="2"/>
        <v>1.1617157939480616</v>
      </c>
      <c r="F21" s="8">
        <f t="shared" si="3"/>
        <v>0.56803990461999865</v>
      </c>
    </row>
    <row r="22" spans="1:6" x14ac:dyDescent="0.25">
      <c r="A22" s="6">
        <v>21</v>
      </c>
      <c r="B22" s="6">
        <v>5.8</v>
      </c>
      <c r="C22" s="7">
        <f t="shared" si="0"/>
        <v>5.245059288537548</v>
      </c>
      <c r="D22" s="8">
        <f t="shared" si="1"/>
        <v>-0.55494071146245183</v>
      </c>
      <c r="E22" s="8">
        <f t="shared" si="2"/>
        <v>0.39397888209289905</v>
      </c>
      <c r="F22" s="8">
        <f t="shared" si="3"/>
        <v>0.94891959355535094</v>
      </c>
    </row>
    <row r="23" spans="1:6" x14ac:dyDescent="0.25">
      <c r="A23" s="6">
        <v>22</v>
      </c>
      <c r="B23" s="6">
        <v>6</v>
      </c>
      <c r="C23" s="7">
        <f t="shared" si="0"/>
        <v>5.2964426877470343</v>
      </c>
      <c r="D23" s="8">
        <f t="shared" si="1"/>
        <v>-0.70355731225296569</v>
      </c>
      <c r="E23" s="8">
        <f t="shared" si="2"/>
        <v>-0.47932435305396981</v>
      </c>
      <c r="F23" s="8">
        <f t="shared" si="3"/>
        <v>0.22423295919899588</v>
      </c>
    </row>
    <row r="24" spans="1:6" x14ac:dyDescent="0.25">
      <c r="A24" s="6">
        <v>23</v>
      </c>
      <c r="B24" s="6">
        <v>5.3</v>
      </c>
      <c r="C24" s="7">
        <f t="shared" si="0"/>
        <v>5.3478260869565206</v>
      </c>
      <c r="D24" s="8">
        <f t="shared" si="1"/>
        <v>4.7826086956520797E-2</v>
      </c>
      <c r="E24" s="8">
        <f t="shared" si="2"/>
        <v>-1.2241930148874554</v>
      </c>
      <c r="F24" s="8">
        <f t="shared" si="3"/>
        <v>-1.2720191018439762</v>
      </c>
    </row>
    <row r="27" spans="1:6" x14ac:dyDescent="0.25">
      <c r="A27" s="1" t="s">
        <v>6</v>
      </c>
      <c r="B27" s="2">
        <f>SLOPE(B2:B24,A2:A24)</f>
        <v>5.1383399209486154E-2</v>
      </c>
    </row>
    <row r="28" spans="1:6" x14ac:dyDescent="0.25">
      <c r="A28" s="1" t="s">
        <v>7</v>
      </c>
      <c r="B28" s="2">
        <f>INTERCEPT(B2:B24,A2:A24)</f>
        <v>4.166007905138339</v>
      </c>
    </row>
    <row r="29" spans="1:6" x14ac:dyDescent="0.25">
      <c r="A29" s="1" t="s">
        <v>8</v>
      </c>
      <c r="B29" s="2">
        <f>STDEV(D2:D24)</f>
        <v>1.687670620591476</v>
      </c>
    </row>
    <row r="30" spans="1:6" x14ac:dyDescent="0.25">
      <c r="A30" s="1" t="s">
        <v>9</v>
      </c>
      <c r="B30" s="1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Грачев</dc:creator>
  <cp:lastModifiedBy>Даниил Грачев</cp:lastModifiedBy>
  <dcterms:created xsi:type="dcterms:W3CDTF">2025-08-30T12:23:32Z</dcterms:created>
  <dcterms:modified xsi:type="dcterms:W3CDTF">2025-08-30T13:28:38Z</dcterms:modified>
</cp:coreProperties>
</file>