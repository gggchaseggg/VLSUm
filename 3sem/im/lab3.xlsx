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gchaseggg\WebstormProjects\VLSUm\3sem\im\"/>
    </mc:Choice>
  </mc:AlternateContent>
  <xr:revisionPtr revIDLastSave="0" documentId="13_ncr:1_{B827714B-B310-4364-8DD1-63FB72BC78F6}" xr6:coauthVersionLast="47" xr6:coauthVersionMax="47" xr10:uidLastSave="{00000000-0000-0000-0000-000000000000}"/>
  <bookViews>
    <workbookView xWindow="-120" yWindow="-120" windowWidth="51840" windowHeight="21840" activeTab="1" xr2:uid="{8F7E5776-3F6B-4C34-84D8-53FB355DF660}"/>
  </bookViews>
  <sheets>
    <sheet name="Лист1" sheetId="1" r:id="rId1"/>
    <sheet name="IR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3" i="2"/>
  <c r="B2" i="2"/>
  <c r="B1" i="2"/>
  <c r="J22" i="1"/>
  <c r="J21" i="1"/>
  <c r="J20" i="1"/>
  <c r="K15" i="1"/>
  <c r="J15" i="1"/>
  <c r="J14" i="1"/>
  <c r="J13" i="1"/>
  <c r="J12" i="1"/>
  <c r="J11" i="1"/>
  <c r="J10" i="1"/>
  <c r="J9" i="1"/>
  <c r="J8" i="1"/>
  <c r="J7" i="1"/>
  <c r="J5" i="1"/>
  <c r="J4" i="1"/>
  <c r="J2" i="1"/>
</calcChain>
</file>

<file path=xl/sharedStrings.xml><?xml version="1.0" encoding="utf-8"?>
<sst xmlns="http://schemas.openxmlformats.org/spreadsheetml/2006/main" count="74" uniqueCount="66">
  <si>
    <t>Показатель</t>
  </si>
  <si>
    <t>Обозначение</t>
  </si>
  <si>
    <t>Ед. изм.</t>
  </si>
  <si>
    <t>Значение</t>
  </si>
  <si>
    <t>Количество сотрудников, работающих с документами</t>
  </si>
  <si>
    <t>–</t>
  </si>
  <si>
    <t>чел.</t>
  </si>
  <si>
    <t>Средняя месячная зарплата сотрудника</t>
  </si>
  <si>
    <t>Z</t>
  </si>
  <si>
    <t>руб.</t>
  </si>
  <si>
    <t>Затраты времени на ручную обработку (до внедрения)</t>
  </si>
  <si>
    <t>дней/мес</t>
  </si>
  <si>
    <t>Затраты времени после внедрения СЭД</t>
  </si>
  <si>
    <t>Среднее количество рабочих дней в месяце</t>
  </si>
  <si>
    <t>Q</t>
  </si>
  <si>
    <t>дней</t>
  </si>
  <si>
    <t>Коэффициент накладных расходов</t>
  </si>
  <si>
    <t>α</t>
  </si>
  <si>
    <t>Коэффициент дополнительной зарплаты (отчисления)</t>
  </si>
  <si>
    <t>β</t>
  </si>
  <si>
    <t>Себестоимость часа работы ПЭВМ</t>
  </si>
  <si>
    <t>руб./час</t>
  </si>
  <si>
    <t>Время работы ПЭВМ после внедрения (месяц)</t>
  </si>
  <si>
    <t>час/мес</t>
  </si>
  <si>
    <t>Время работы ПЭВМ на обучение (месяц)</t>
  </si>
  <si>
    <t>Коэффициент настройки оборудования</t>
  </si>
  <si>
    <t>γ</t>
  </si>
  <si>
    <t>Коэффициент прочих расходов</t>
  </si>
  <si>
    <t>h</t>
  </si>
  <si>
    <t>Нормативный коэффициент эффективности (Е_nce)</t>
  </si>
  <si>
    <t>Единовременные затраты на внедрение СЭД (К)</t>
  </si>
  <si>
    <t>К</t>
  </si>
  <si>
    <t>Ставка дисконтирования</t>
  </si>
  <si>
    <t>r</t>
  </si>
  <si>
    <t>%</t>
  </si>
  <si>
    <t>Годовая экономия от снижения штрафов/потерь</t>
  </si>
  <si>
    <t>руб./год</t>
  </si>
  <si>
    <t>Срок реализации проекта</t>
  </si>
  <si>
    <t>n</t>
  </si>
  <si>
    <t>лет</t>
  </si>
  <si>
    <t>T1</t>
  </si>
  <si>
    <t>T2</t>
  </si>
  <si>
    <t>Sq</t>
  </si>
  <si>
    <t>Tq</t>
  </si>
  <si>
    <t>Tq2</t>
  </si>
  <si>
    <t>Еnce</t>
  </si>
  <si>
    <t>Pk</t>
  </si>
  <si>
    <t>K3</t>
  </si>
  <si>
    <t>C3</t>
  </si>
  <si>
    <t>ОС2</t>
  </si>
  <si>
    <t>Годовые эксплуатационные затраты при ручной обработке (ОС1)</t>
  </si>
  <si>
    <t>Годовые эксплуатационные затраты после внедрения СЭД (ОС2)</t>
  </si>
  <si>
    <t>Затраты машинного времени (С1)</t>
  </si>
  <si>
    <t>Затраты ручного труда после внедрения (С2)</t>
  </si>
  <si>
    <t>Затраты на обучение и настройку (С3)</t>
  </si>
  <si>
    <t>зарплата на обучение (К31)</t>
  </si>
  <si>
    <t>машинное время на обучение (К32)</t>
  </si>
  <si>
    <t>прочие расходы (К33)</t>
  </si>
  <si>
    <t>Годовая экономия (S)</t>
  </si>
  <si>
    <t>Коэффициент экономической эффективности (Er)</t>
  </si>
  <si>
    <t>Срок окупаемости (T)</t>
  </si>
  <si>
    <t>месяц</t>
  </si>
  <si>
    <t>Чистая приведённая стоимость (NPV)</t>
  </si>
  <si>
    <t>Годовой денежный поток (Pk)</t>
  </si>
  <si>
    <t>Индекс рентабельности (PI)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</si>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</sst>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IRR!$A$1:$A$20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IRR!$B$1:$B$20</c:f>
              <c:numCache>
                <c:formatCode>General</c:formatCode>
                <c:ptCount val="20"/>
                <c:pt idx="0">
                  <c:v>1022562.7040734515</c:v>
                </c:pt>
                <c:pt idx="1">
                  <c:v>648958.16654351633</c:v>
                </c:pt>
                <c:pt idx="2">
                  <c:v>336147.96360660624</c:v>
                </c:pt>
                <c:pt idx="3">
                  <c:v>71660.216049381997</c:v>
                </c:pt>
                <c:pt idx="4">
                  <c:v>-153976.25483636418</c:v>
                </c:pt>
                <c:pt idx="5">
                  <c:v>-348047.05793978507</c:v>
                </c:pt>
                <c:pt idx="6">
                  <c:v>-516223.22148135561</c:v>
                </c:pt>
                <c:pt idx="7">
                  <c:v>-662967.35754041886</c:v>
                </c:pt>
                <c:pt idx="8">
                  <c:v>-791826.70117354719</c:v>
                </c:pt>
                <c:pt idx="9">
                  <c:v>-905647.31762065133</c:v>
                </c:pt>
                <c:pt idx="10">
                  <c:v>-1006732.5965654573</c:v>
                </c:pt>
                <c:pt idx="11">
                  <c:v>-1096961.8545809665</c:v>
                </c:pt>
                <c:pt idx="12">
                  <c:v>-1177880.024637545</c:v>
                </c:pt>
                <c:pt idx="13">
                  <c:v>-1250766.1508755011</c:v>
                </c:pt>
                <c:pt idx="14">
                  <c:v>-1316686.1807580176</c:v>
                </c:pt>
                <c:pt idx="15">
                  <c:v>-1376534.0072882464</c:v>
                </c:pt>
                <c:pt idx="16">
                  <c:v>-1431063.6364907238</c:v>
                </c:pt>
                <c:pt idx="17">
                  <c:v>-1480914.5926247849</c:v>
                </c:pt>
                <c:pt idx="18">
                  <c:v>-1526632.1278979511</c:v>
                </c:pt>
                <c:pt idx="19">
                  <c:v>-1568683.4090909092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FB-4F5D-BE2A-BA9F2CF5F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658335"/>
        <c:axId val="1507228911"/>
      </c:scatterChart>
      <c:valAx>
        <c:axId val="160565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7228911"/>
        <c:crosses val="autoZero"/>
        <c:crossBetween val="midCat"/>
      </c:valAx>
      <c:valAx>
        <c:axId val="150722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565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152399</xdr:colOff>
      <xdr:row>1</xdr:row>
      <xdr:rowOff>114300</xdr:rowOff>
    </xdr:from>
    <xdr:to>
      <xdr:col>17</xdr:col>
      <xdr:colOff>66675</xdr:colOff>
      <xdr:row>16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40B957A-089D-436C-AD49-EA52E60F7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8DFA-EB0C-4A85-B9EB-D2F63B379EE8}">
  <dimension ref="A1:L32"/>
  <sheetViews>
    <sheetView zoomScale="145" zoomScaleNormal="145" workbookViewId="0">
      <selection activeCell="J22" sqref="J22"/>
    </sheetView>
  </sheetViews>
  <sheetFormatPr defaultRowHeight="15" x14ac:dyDescent="0.25"/>
  <cols>
    <col min="1" max="1" width="52.7109375" bestFit="1" customWidth="1"/>
    <col min="2" max="2" width="13.42578125" bestFit="1" customWidth="1"/>
    <col min="3" max="3" width="9.85546875" bestFit="1" customWidth="1"/>
    <col min="4" max="4" width="9.7109375" bestFit="1" customWidth="1"/>
    <col min="9" max="9" width="61.85546875" bestFit="1" customWidth="1"/>
    <col min="10" max="10" width="12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</row>
    <row r="2" spans="1:12" x14ac:dyDescent="0.25">
      <c r="A2" t="s">
        <v>4</v>
      </c>
      <c r="B2" t="s">
        <v>5</v>
      </c>
      <c r="C2" t="s">
        <v>6</v>
      </c>
      <c r="D2">
        <v>320</v>
      </c>
      <c r="I2" t="s">
        <v>50</v>
      </c>
      <c r="J2">
        <f>(D3*D4/D6)*(1+D7)*(1+D8)*12</f>
        <v>1378472.7272727271</v>
      </c>
    </row>
    <row r="3" spans="1:12" x14ac:dyDescent="0.25">
      <c r="A3" t="s">
        <v>7</v>
      </c>
      <c r="B3" t="s">
        <v>8</v>
      </c>
      <c r="C3" t="s">
        <v>9</v>
      </c>
      <c r="D3" s="1">
        <v>90000</v>
      </c>
      <c r="I3" t="s">
        <v>51</v>
      </c>
    </row>
    <row r="4" spans="1:12" x14ac:dyDescent="0.25">
      <c r="A4" t="s">
        <v>10</v>
      </c>
      <c r="B4" t="s">
        <v>40</v>
      </c>
      <c r="C4" t="s">
        <v>11</v>
      </c>
      <c r="D4">
        <v>18</v>
      </c>
      <c r="I4" s="2" t="s">
        <v>52</v>
      </c>
      <c r="J4">
        <f>12*D9*D10</f>
        <v>10800</v>
      </c>
    </row>
    <row r="5" spans="1:12" x14ac:dyDescent="0.25">
      <c r="A5" t="s">
        <v>12</v>
      </c>
      <c r="B5" t="s">
        <v>41</v>
      </c>
      <c r="C5" t="s">
        <v>11</v>
      </c>
      <c r="D5">
        <v>9</v>
      </c>
      <c r="I5" s="2" t="s">
        <v>53</v>
      </c>
      <c r="J5">
        <f>D3*D5*(1+D7)*(1+D8)*12/D6</f>
        <v>689236.36363636365</v>
      </c>
    </row>
    <row r="6" spans="1:12" x14ac:dyDescent="0.25">
      <c r="A6" t="s">
        <v>13</v>
      </c>
      <c r="B6" t="s">
        <v>14</v>
      </c>
      <c r="C6" t="s">
        <v>15</v>
      </c>
      <c r="D6">
        <v>22</v>
      </c>
      <c r="I6" s="2" t="s">
        <v>54</v>
      </c>
    </row>
    <row r="7" spans="1:12" x14ac:dyDescent="0.25">
      <c r="A7" t="s">
        <v>16</v>
      </c>
      <c r="B7" t="s">
        <v>17</v>
      </c>
      <c r="C7" t="s">
        <v>5</v>
      </c>
      <c r="D7">
        <v>0.2</v>
      </c>
      <c r="I7" s="2" t="s">
        <v>55</v>
      </c>
      <c r="J7">
        <f>D3*D11*(1+D7)*(1+D8)*12/D6</f>
        <v>765818.18181818177</v>
      </c>
    </row>
    <row r="8" spans="1:12" x14ac:dyDescent="0.25">
      <c r="A8" t="s">
        <v>18</v>
      </c>
      <c r="B8" t="s">
        <v>19</v>
      </c>
      <c r="C8" t="s">
        <v>5</v>
      </c>
      <c r="D8">
        <v>0.3</v>
      </c>
      <c r="I8" s="2" t="s">
        <v>56</v>
      </c>
      <c r="J8">
        <f>12*D9*D11</f>
        <v>7200</v>
      </c>
    </row>
    <row r="9" spans="1:12" x14ac:dyDescent="0.25">
      <c r="A9" t="s">
        <v>20</v>
      </c>
      <c r="B9" t="s">
        <v>42</v>
      </c>
      <c r="C9" t="s">
        <v>21</v>
      </c>
      <c r="D9">
        <v>60</v>
      </c>
      <c r="I9" s="2" t="s">
        <v>57</v>
      </c>
      <c r="J9">
        <f>(J7+J8)*D13</f>
        <v>77301.818181818177</v>
      </c>
    </row>
    <row r="10" spans="1:12" x14ac:dyDescent="0.25">
      <c r="A10" t="s">
        <v>22</v>
      </c>
      <c r="B10" t="s">
        <v>43</v>
      </c>
      <c r="C10" t="s">
        <v>23</v>
      </c>
      <c r="D10">
        <v>15</v>
      </c>
      <c r="I10" s="2" t="s">
        <v>47</v>
      </c>
      <c r="J10">
        <f>J7+J8+J9</f>
        <v>850320</v>
      </c>
    </row>
    <row r="11" spans="1:12" x14ac:dyDescent="0.25">
      <c r="A11" t="s">
        <v>24</v>
      </c>
      <c r="B11" t="s">
        <v>44</v>
      </c>
      <c r="C11" t="s">
        <v>23</v>
      </c>
      <c r="D11">
        <v>10</v>
      </c>
      <c r="I11" s="2" t="s">
        <v>48</v>
      </c>
      <c r="J11">
        <f>J10*D12</f>
        <v>85032</v>
      </c>
    </row>
    <row r="12" spans="1:12" x14ac:dyDescent="0.25">
      <c r="A12" t="s">
        <v>25</v>
      </c>
      <c r="B12" t="s">
        <v>26</v>
      </c>
      <c r="C12" t="s">
        <v>5</v>
      </c>
      <c r="D12">
        <v>0.1</v>
      </c>
      <c r="I12" s="2" t="s">
        <v>49</v>
      </c>
      <c r="J12">
        <f>J4+J5+J11</f>
        <v>785068.36363636365</v>
      </c>
    </row>
    <row r="13" spans="1:12" x14ac:dyDescent="0.25">
      <c r="A13" t="s">
        <v>27</v>
      </c>
      <c r="B13" t="s">
        <v>28</v>
      </c>
      <c r="C13" t="s">
        <v>5</v>
      </c>
      <c r="D13">
        <v>0.1</v>
      </c>
      <c r="I13" s="3" t="s">
        <v>58</v>
      </c>
      <c r="J13">
        <f>J2-J12</f>
        <v>593404.36363636341</v>
      </c>
    </row>
    <row r="14" spans="1:12" x14ac:dyDescent="0.25">
      <c r="A14" t="s">
        <v>29</v>
      </c>
      <c r="B14" t="s">
        <v>45</v>
      </c>
      <c r="C14" t="s">
        <v>5</v>
      </c>
      <c r="D14">
        <v>0.3</v>
      </c>
      <c r="I14" t="s">
        <v>59</v>
      </c>
      <c r="J14">
        <f>J13/D15</f>
        <v>0.23736174545454536</v>
      </c>
    </row>
    <row r="15" spans="1:12" x14ac:dyDescent="0.25">
      <c r="A15" t="s">
        <v>30</v>
      </c>
      <c r="B15" t="s">
        <v>31</v>
      </c>
      <c r="C15" t="s">
        <v>9</v>
      </c>
      <c r="D15" s="1">
        <v>2500000</v>
      </c>
      <c r="I15" s="3" t="s">
        <v>60</v>
      </c>
      <c r="J15">
        <f>D15/J13</f>
        <v>4.2129787935499463</v>
      </c>
      <c r="K15">
        <f>ROUNDUP(J15*12,0)</f>
        <v>51</v>
      </c>
      <c r="L15" t="s">
        <v>61</v>
      </c>
    </row>
    <row r="16" spans="1:12" x14ac:dyDescent="0.25">
      <c r="A16" t="s">
        <v>32</v>
      </c>
      <c r="B16" t="s">
        <v>33</v>
      </c>
      <c r="C16" t="s">
        <v>34</v>
      </c>
      <c r="D16">
        <v>0.1</v>
      </c>
      <c r="I16" s="4"/>
    </row>
    <row r="17" spans="1:10" x14ac:dyDescent="0.25">
      <c r="A17" t="s">
        <v>35</v>
      </c>
      <c r="B17" t="s">
        <v>46</v>
      </c>
      <c r="C17" t="s">
        <v>36</v>
      </c>
      <c r="D17" s="1">
        <v>400000</v>
      </c>
      <c r="I17" s="4"/>
    </row>
    <row r="18" spans="1:10" x14ac:dyDescent="0.25">
      <c r="A18" t="s">
        <v>37</v>
      </c>
      <c r="B18" t="s">
        <v>38</v>
      </c>
      <c r="C18" t="s">
        <v>39</v>
      </c>
      <c r="D18">
        <v>3</v>
      </c>
      <c r="I18" s="4"/>
    </row>
    <row r="19" spans="1:10" x14ac:dyDescent="0.25">
      <c r="I19" s="4"/>
    </row>
    <row r="20" spans="1:10" x14ac:dyDescent="0.25">
      <c r="I20" s="4" t="s">
        <v>63</v>
      </c>
      <c r="J20" s="1">
        <f>D17+J13</f>
        <v>993404.36363636341</v>
      </c>
    </row>
    <row r="21" spans="1:10" x14ac:dyDescent="0.25">
      <c r="I21" s="4" t="s">
        <v>62</v>
      </c>
      <c r="J21">
        <f>(J20/((1+D16)^1))+(J20/((1+D16)^2))+(J20/((1+D16)^3))+(J20/((1+D16)^4))-D15</f>
        <v>648958.16654351633</v>
      </c>
    </row>
    <row r="22" spans="1:10" x14ac:dyDescent="0.25">
      <c r="I22" t="s">
        <v>64</v>
      </c>
      <c r="J22">
        <f>((J20/((1+D16)^1))+(J20/((1+D16)^2))+(J20/((1+D16)^3))+(J20/((1+D16)^4)))/D15</f>
        <v>1.2595832666174065</v>
      </c>
    </row>
    <row r="23" spans="1:10" x14ac:dyDescent="0.25">
      <c r="I23" s="4"/>
    </row>
    <row r="24" spans="1:10" x14ac:dyDescent="0.25">
      <c r="I24" s="4"/>
    </row>
    <row r="25" spans="1:10" x14ac:dyDescent="0.25">
      <c r="I25" s="4"/>
    </row>
    <row r="26" spans="1:10" x14ac:dyDescent="0.25">
      <c r="I26" s="4"/>
    </row>
    <row r="27" spans="1:10" x14ac:dyDescent="0.25">
      <c r="I27" s="4"/>
    </row>
    <row r="28" spans="1:10" x14ac:dyDescent="0.25">
      <c r="I28" s="4"/>
    </row>
    <row r="29" spans="1:10" x14ac:dyDescent="0.25">
      <c r="I29" s="4"/>
    </row>
    <row r="30" spans="1:10" x14ac:dyDescent="0.25">
      <c r="I30" s="4"/>
    </row>
    <row r="31" spans="1:10" x14ac:dyDescent="0.25">
      <c r="I31" s="4"/>
    </row>
    <row r="32" spans="1:10" x14ac:dyDescent="0.25">
      <c r="I3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7AD5-6CAC-41C3-9CBF-BB00DD0E1377}">
  <dimension ref="A1:J20"/>
  <sheetViews>
    <sheetView tabSelected="1" workbookViewId="0">
      <selection activeCell="T18" sqref="T18"/>
    </sheetView>
  </sheetViews>
  <sheetFormatPr defaultRowHeight="15" x14ac:dyDescent="0.25"/>
  <sheetData>
    <row r="1" spans="1:2" x14ac:dyDescent="0.25">
      <c r="A1">
        <v>0.05</v>
      </c>
      <c r="B1">
        <f>Лист1!$J$20/((1+IRR!A1)^1)+Лист1!$J$20/((1+IRR!A1)^2)+Лист1!$J$20/((1+IRR!A1)^3)+Лист1!$J$20/((1+IRR!A1)^4)-Лист1!$D$15</f>
        <v>1022562.7040734515</v>
      </c>
    </row>
    <row r="2" spans="1:2" x14ac:dyDescent="0.25">
      <c r="A2">
        <v>0.1</v>
      </c>
      <c r="B2">
        <f>Лист1!$J$20/((1+IRR!A2)^1)+Лист1!$J$20/((1+IRR!A2)^2)+Лист1!$J$20/((1+IRR!A2)^3)+Лист1!$J$20/((1+IRR!A2)^4)-Лист1!$D$15</f>
        <v>648958.16654351633</v>
      </c>
    </row>
    <row r="3" spans="1:2" x14ac:dyDescent="0.25">
      <c r="A3">
        <v>0.15</v>
      </c>
      <c r="B3">
        <f>Лист1!$J$20/((1+IRR!A3)^1)+Лист1!$J$20/((1+IRR!A3)^2)+Лист1!$J$20/((1+IRR!A3)^3)+Лист1!$J$20/((1+IRR!A3)^4)-Лист1!$D$15</f>
        <v>336147.96360660624</v>
      </c>
    </row>
    <row r="4" spans="1:2" x14ac:dyDescent="0.25">
      <c r="A4">
        <v>0.2</v>
      </c>
      <c r="B4">
        <f>Лист1!$J$20/((1+IRR!A4)^1)+Лист1!$J$20/((1+IRR!A4)^2)+Лист1!$J$20/((1+IRR!A4)^3)+Лист1!$J$20/((1+IRR!A4)^4)-Лист1!$D$15</f>
        <v>71660.216049381997</v>
      </c>
    </row>
    <row r="5" spans="1:2" x14ac:dyDescent="0.25">
      <c r="A5">
        <v>0.25</v>
      </c>
      <c r="B5">
        <f>Лист1!$J$20/((1+IRR!A5)^1)+Лист1!$J$20/((1+IRR!A5)^2)+Лист1!$J$20/((1+IRR!A5)^3)+Лист1!$J$20/((1+IRR!A5)^4)-Лист1!$D$15</f>
        <v>-153976.25483636418</v>
      </c>
    </row>
    <row r="6" spans="1:2" x14ac:dyDescent="0.25">
      <c r="A6">
        <v>0.3</v>
      </c>
      <c r="B6">
        <f>Лист1!$J$20/((1+IRR!A6)^1)+Лист1!$J$20/((1+IRR!A6)^2)+Лист1!$J$20/((1+IRR!A6)^3)+Лист1!$J$20/((1+IRR!A6)^4)-Лист1!$D$15</f>
        <v>-348047.05793978507</v>
      </c>
    </row>
    <row r="7" spans="1:2" x14ac:dyDescent="0.25">
      <c r="A7">
        <v>0.35</v>
      </c>
      <c r="B7">
        <f>Лист1!$J$20/((1+IRR!A7)^1)+Лист1!$J$20/((1+IRR!A7)^2)+Лист1!$J$20/((1+IRR!A7)^3)+Лист1!$J$20/((1+IRR!A7)^4)-Лист1!$D$15</f>
        <v>-516223.22148135561</v>
      </c>
    </row>
    <row r="8" spans="1:2" x14ac:dyDescent="0.25">
      <c r="A8">
        <v>0.4</v>
      </c>
      <c r="B8">
        <f>Лист1!$J$20/((1+IRR!A8)^1)+Лист1!$J$20/((1+IRR!A8)^2)+Лист1!$J$20/((1+IRR!A8)^3)+Лист1!$J$20/((1+IRR!A8)^4)-Лист1!$D$15</f>
        <v>-662967.35754041886</v>
      </c>
    </row>
    <row r="9" spans="1:2" x14ac:dyDescent="0.25">
      <c r="A9">
        <v>0.45</v>
      </c>
      <c r="B9">
        <f>Лист1!$J$20/((1+IRR!A9)^1)+Лист1!$J$20/((1+IRR!A9)^2)+Лист1!$J$20/((1+IRR!A9)^3)+Лист1!$J$20/((1+IRR!A9)^4)-Лист1!$D$15</f>
        <v>-791826.70117354719</v>
      </c>
    </row>
    <row r="10" spans="1:2" x14ac:dyDescent="0.25">
      <c r="A10">
        <v>0.5</v>
      </c>
      <c r="B10">
        <f>Лист1!$J$20/((1+IRR!A10)^1)+Лист1!$J$20/((1+IRR!A10)^2)+Лист1!$J$20/((1+IRR!A10)^3)+Лист1!$J$20/((1+IRR!A10)^4)-Лист1!$D$15</f>
        <v>-905647.31762065133</v>
      </c>
    </row>
    <row r="11" spans="1:2" x14ac:dyDescent="0.25">
      <c r="A11">
        <v>0.55000000000000004</v>
      </c>
      <c r="B11">
        <f>Лист1!$J$20/((1+IRR!A11)^1)+Лист1!$J$20/((1+IRR!A11)^2)+Лист1!$J$20/((1+IRR!A11)^3)+Лист1!$J$20/((1+IRR!A11)^4)-Лист1!$D$15</f>
        <v>-1006732.5965654573</v>
      </c>
    </row>
    <row r="12" spans="1:2" x14ac:dyDescent="0.25">
      <c r="A12">
        <v>0.6</v>
      </c>
      <c r="B12">
        <f>Лист1!$J$20/((1+IRR!A12)^1)+Лист1!$J$20/((1+IRR!A12)^2)+Лист1!$J$20/((1+IRR!A12)^3)+Лист1!$J$20/((1+IRR!A12)^4)-Лист1!$D$15</f>
        <v>-1096961.8545809665</v>
      </c>
    </row>
    <row r="13" spans="1:2" x14ac:dyDescent="0.25">
      <c r="A13">
        <v>0.65</v>
      </c>
      <c r="B13">
        <f>Лист1!$J$20/((1+IRR!A13)^1)+Лист1!$J$20/((1+IRR!A13)^2)+Лист1!$J$20/((1+IRR!A13)^3)+Лист1!$J$20/((1+IRR!A13)^4)-Лист1!$D$15</f>
        <v>-1177880.024637545</v>
      </c>
    </row>
    <row r="14" spans="1:2" x14ac:dyDescent="0.25">
      <c r="A14">
        <v>0.7</v>
      </c>
      <c r="B14">
        <f>Лист1!$J$20/((1+IRR!A14)^1)+Лист1!$J$20/((1+IRR!A14)^2)+Лист1!$J$20/((1+IRR!A14)^3)+Лист1!$J$20/((1+IRR!A14)^4)-Лист1!$D$15</f>
        <v>-1250766.1508755011</v>
      </c>
    </row>
    <row r="15" spans="1:2" x14ac:dyDescent="0.25">
      <c r="A15">
        <v>0.75</v>
      </c>
      <c r="B15">
        <f>Лист1!$J$20/((1+IRR!A15)^1)+Лист1!$J$20/((1+IRR!A15)^2)+Лист1!$J$20/((1+IRR!A15)^3)+Лист1!$J$20/((1+IRR!A15)^4)-Лист1!$D$15</f>
        <v>-1316686.1807580176</v>
      </c>
    </row>
    <row r="16" spans="1:2" x14ac:dyDescent="0.25">
      <c r="A16">
        <v>0.8</v>
      </c>
      <c r="B16">
        <f>Лист1!$J$20/((1+IRR!A16)^1)+Лист1!$J$20/((1+IRR!A16)^2)+Лист1!$J$20/((1+IRR!A16)^3)+Лист1!$J$20/((1+IRR!A16)^4)-Лист1!$D$15</f>
        <v>-1376534.0072882464</v>
      </c>
    </row>
    <row r="17" spans="1:10" x14ac:dyDescent="0.25">
      <c r="A17">
        <v>0.85</v>
      </c>
      <c r="B17">
        <f>Лист1!$J$20/((1+IRR!A17)^1)+Лист1!$J$20/((1+IRR!A17)^2)+Лист1!$J$20/((1+IRR!A17)^3)+Лист1!$J$20/((1+IRR!A17)^4)-Лист1!$D$15</f>
        <v>-1431063.6364907238</v>
      </c>
    </row>
    <row r="18" spans="1:10" x14ac:dyDescent="0.25">
      <c r="A18">
        <v>0.9</v>
      </c>
      <c r="B18">
        <f>Лист1!$J$20/((1+IRR!A18)^1)+Лист1!$J$20/((1+IRR!A18)^2)+Лист1!$J$20/((1+IRR!A18)^3)+Лист1!$J$20/((1+IRR!A18)^4)-Лист1!$D$15</f>
        <v>-1480914.5926247849</v>
      </c>
    </row>
    <row r="19" spans="1:10" x14ac:dyDescent="0.25">
      <c r="A19">
        <v>0.95</v>
      </c>
      <c r="B19">
        <f>Лист1!$J$20/((1+IRR!A19)^1)+Лист1!$J$20/((1+IRR!A19)^2)+Лист1!$J$20/((1+IRR!A19)^3)+Лист1!$J$20/((1+IRR!A19)^4)-Лист1!$D$15</f>
        <v>-1526632.1278979511</v>
      </c>
      <c r="I19" t="s">
        <v>65</v>
      </c>
      <c r="J19">
        <v>0.21504999999999999</v>
      </c>
    </row>
    <row r="20" spans="1:10" x14ac:dyDescent="0.25">
      <c r="A20">
        <v>1</v>
      </c>
      <c r="B20">
        <f>Лист1!$J$20/((1+IRR!A20)^1)+Лист1!$J$20/((1+IRR!A20)^2)+Лист1!$J$20/((1+IRR!A20)^3)+Лист1!$J$20/((1+IRR!A20)^4)-Лист1!$D$15</f>
        <v>-1568683.4090909092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Грачев</dc:creator>
  <cp:lastModifiedBy>Даниил Грачев</cp:lastModifiedBy>
  <dcterms:created xsi:type="dcterms:W3CDTF">2025-12-21T16:32:37Z</dcterms:created>
  <dcterms:modified xsi:type="dcterms:W3CDTF">2025-12-21T17:53:29Z</dcterms:modified>
</cp:coreProperties>
</file>