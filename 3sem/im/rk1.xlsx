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gchaseggg\WebstormProjects\VLSUm\3sem\im\"/>
    </mc:Choice>
  </mc:AlternateContent>
  <xr:revisionPtr revIDLastSave="0" documentId="13_ncr:1_{4B9B404F-6049-4F12-B0C7-B5B5BBB5ACD5}" xr6:coauthVersionLast="47" xr6:coauthVersionMax="47" xr10:uidLastSave="{00000000-0000-0000-0000-000000000000}"/>
  <bookViews>
    <workbookView xWindow="-120" yWindow="-120" windowWidth="51840" windowHeight="21840" xr2:uid="{8F7E5776-3F6B-4C34-84D8-53FB355DF66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D48" i="1"/>
  <c r="D46" i="1"/>
  <c r="D43" i="1"/>
  <c r="D38" i="1"/>
  <c r="D37" i="1"/>
  <c r="D31" i="1"/>
  <c r="D19" i="1"/>
  <c r="D23" i="1" s="1"/>
  <c r="D12" i="1"/>
</calcChain>
</file>

<file path=xl/sharedStrings.xml><?xml version="1.0" encoding="utf-8"?>
<sst xmlns="http://schemas.openxmlformats.org/spreadsheetml/2006/main" count="66" uniqueCount="66">
  <si>
    <t>№</t>
  </si>
  <si>
    <t>Статья затрат</t>
  </si>
  <si>
    <t>Расчет / Обоснование</t>
  </si>
  <si>
    <t>Стоимость в год, руб.</t>
  </si>
  <si>
    <t>А. СТАТИСТИКА ОРГАНИЗАЦИИ</t>
  </si>
  <si>
    <t>Количество ПК (ноутбуков)</t>
  </si>
  <si>
    <t>Количество пользователей</t>
  </si>
  <si>
    <t>Средняя зарплата пользователя в год (брутто)</t>
  </si>
  <si>
    <t>Усредненная по компании (разработчик + менеджер)</t>
  </si>
  <si>
    <t>Б. ПРЯМЫЕ ЗАТРАТЫ</t>
  </si>
  <si>
    <t>I. На оборудование и ПО</t>
  </si>
  <si>
    <t>Средние затраты на закупку оборудования в год</t>
  </si>
  <si>
    <t>Средние затраты на ПО в год</t>
  </si>
  <si>
    <t>Корпоративные лицензии Atlassian, ОС, софт. Ежегодные платежи.</t>
  </si>
  <si>
    <t>Амортизация капитальных вложений</t>
  </si>
  <si>
    <t>Пункт 4 (так как техника учитывается как ОС)</t>
  </si>
  <si>
    <t>Ежегодные затраты на комплектующие</t>
  </si>
  <si>
    <t>Док-станции, адаптеры, периферия, расходники</t>
  </si>
  <si>
    <t>Итого по разделу I</t>
  </si>
  <si>
    <t>Сумма пп. 4-8</t>
  </si>
  <si>
    <t>II. На управление и персонал</t>
  </si>
  <si>
    <t>• Служба техподдержки (L1/L2)</t>
  </si>
  <si>
    <t>• Системные/сетевые администраторы</t>
  </si>
  <si>
    <t>• Специалисты по информационной безопасности</t>
  </si>
  <si>
    <t>• DevOps / Cloud-инженеры</t>
  </si>
  <si>
    <t>Общая зарплата ИТ-персонала</t>
  </si>
  <si>
    <t>Командировочные расходы в год</t>
  </si>
  <si>
    <t>Обслуживание удаленных сотрудников/офисов</t>
  </si>
  <si>
    <t>Консультационные услуги</t>
  </si>
  <si>
    <t>Аудит безопасности, консалтинг по облакам</t>
  </si>
  <si>
    <t>Затраты на обучение ИТ-персонала</t>
  </si>
  <si>
    <t>Сертификации, курсы</t>
  </si>
  <si>
    <t>Итого по разделу II</t>
  </si>
  <si>
    <t>III. На развитие</t>
  </si>
  <si>
    <t>Затраты на зарплату внутренней разработки/интеграции:</t>
  </si>
  <si>
    <t>• Проектирование внутренних сервисов</t>
  </si>
  <si>
    <t>• Разработка</t>
  </si>
  <si>
    <t>• Тестирование</t>
  </si>
  <si>
    <t>• Документирование</t>
  </si>
  <si>
    <t>Общие затраты на внутреннюю разработку</t>
  </si>
  <si>
    <t>Итого по разделу III</t>
  </si>
  <si>
    <t>IV. На связь и облака</t>
  </si>
  <si>
    <t>Затраты на аренду каналов связи</t>
  </si>
  <si>
    <t>Выделенные линии, VPN</t>
  </si>
  <si>
    <t>Затраты на удаленный доступ и интернет</t>
  </si>
  <si>
    <t>Корпоративный интернет в офисах</t>
  </si>
  <si>
    <t>Годовая стоимость облачных сервисов (Azure, GCP)</t>
  </si>
  <si>
    <t>Основная статья. Расчетная стоимость.</t>
  </si>
  <si>
    <t>Годовая стоимость CDN/Security (Cloudflare)</t>
  </si>
  <si>
    <t>Итого по разделу IV</t>
  </si>
  <si>
    <t>ОБЩИЕ ПРЯМЫЕ ЗАТРАТЫ (DE)</t>
  </si>
  <si>
    <t>Сумма Итого I-IV</t>
  </si>
  <si>
    <t>В. КОСВЕННЫЕ (НЕПРЯМЫЕ) ЗАТРАТЫ</t>
  </si>
  <si>
    <t>Затраты пользователя на ИТ</t>
  </si>
  <si>
    <t>Самообучение (40 ч/год на пользователя)</t>
  </si>
  <si>
    <t>Самообслуживание ПК и ПО (40 ч/год)</t>
  </si>
  <si>
    <t>Итого по затратам пользователя</t>
  </si>
  <si>
    <t>Затраты из-за простоев</t>
  </si>
  <si>
    <t>Время простоя (2 ч/мес. на пользователя)</t>
  </si>
  <si>
    <t>ВСЕГО КОСВЕННЫХ ЗАТРАТ (IC)</t>
  </si>
  <si>
    <t>П.21+22+23</t>
  </si>
  <si>
    <t>Г. ИТОГОВЫЕ ПОКАЗАТЕЛИ</t>
  </si>
  <si>
    <t>Общая годовая себестоимость ИТ-инфраструктуры</t>
  </si>
  <si>
    <t>Общая стоимость владения в расчете на ПК (TCO)</t>
  </si>
  <si>
    <t>Цикл обновления 3 года</t>
  </si>
  <si>
    <t>Годовые затраты на оплату ИТ-персонала: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</si>
</sst>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8DFA-EB0C-4A85-B9EB-D2F63B379EE8}">
  <dimension ref="A1:J49"/>
  <sheetViews>
    <sheetView tabSelected="1" topLeftCell="A16" zoomScale="145" zoomScaleNormal="145" workbookViewId="0">
      <selection activeCell="D50" sqref="D50"/>
    </sheetView>
  </sheetViews>
  <sheetFormatPr defaultRowHeight="15" x14ac:dyDescent="0.25"/>
  <cols>
    <col min="1" max="1" width="35.7109375" bestFit="1" customWidth="1"/>
    <col min="2" max="2" width="57.28515625" bestFit="1" customWidth="1"/>
    <col min="3" max="3" width="75.85546875" bestFit="1" customWidth="1"/>
    <col min="4" max="4" width="20.5703125" bestFit="1" customWidth="1"/>
    <col min="9" max="9" width="8.85546875" customWidth="1"/>
    <col min="10" max="10" width="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t="s">
        <v>4</v>
      </c>
    </row>
    <row r="3" spans="1:9" x14ac:dyDescent="0.25">
      <c r="A3">
        <v>1</v>
      </c>
      <c r="B3" t="s">
        <v>5</v>
      </c>
      <c r="C3">
        <v>340</v>
      </c>
      <c r="D3" s="1"/>
    </row>
    <row r="4" spans="1:9" x14ac:dyDescent="0.25">
      <c r="A4">
        <v>2</v>
      </c>
      <c r="B4" t="s">
        <v>6</v>
      </c>
      <c r="C4">
        <v>340</v>
      </c>
      <c r="I4" s="2"/>
    </row>
    <row r="5" spans="1:9" x14ac:dyDescent="0.25">
      <c r="A5">
        <v>3</v>
      </c>
      <c r="B5" t="s">
        <v>7</v>
      </c>
      <c r="C5" t="s">
        <v>8</v>
      </c>
      <c r="D5" s="1">
        <v>2400000</v>
      </c>
      <c r="I5" s="2"/>
    </row>
    <row r="6" spans="1:9" x14ac:dyDescent="0.25">
      <c r="A6" t="s">
        <v>9</v>
      </c>
      <c r="I6" s="2"/>
    </row>
    <row r="7" spans="1:9" x14ac:dyDescent="0.25">
      <c r="A7" t="s">
        <v>10</v>
      </c>
      <c r="I7" s="2"/>
    </row>
    <row r="8" spans="1:9" x14ac:dyDescent="0.25">
      <c r="A8">
        <v>4</v>
      </c>
      <c r="B8" t="s">
        <v>11</v>
      </c>
      <c r="C8" t="s">
        <v>64</v>
      </c>
      <c r="D8" s="1">
        <v>22000000</v>
      </c>
      <c r="I8" s="2"/>
    </row>
    <row r="9" spans="1:9" x14ac:dyDescent="0.25">
      <c r="A9">
        <v>5</v>
      </c>
      <c r="B9" t="s">
        <v>12</v>
      </c>
      <c r="C9" t="s">
        <v>13</v>
      </c>
      <c r="D9" s="1">
        <v>5500000</v>
      </c>
      <c r="I9" s="2"/>
    </row>
    <row r="10" spans="1:9" x14ac:dyDescent="0.25">
      <c r="A10">
        <v>6</v>
      </c>
      <c r="B10" t="s">
        <v>14</v>
      </c>
      <c r="C10" t="s">
        <v>15</v>
      </c>
      <c r="D10" s="1">
        <v>28333333</v>
      </c>
      <c r="I10" s="2"/>
    </row>
    <row r="11" spans="1:9" x14ac:dyDescent="0.25">
      <c r="A11">
        <v>7</v>
      </c>
      <c r="B11" t="s">
        <v>16</v>
      </c>
      <c r="C11" t="s">
        <v>17</v>
      </c>
      <c r="D11" s="1">
        <v>1700000</v>
      </c>
      <c r="I11" s="2"/>
    </row>
    <row r="12" spans="1:9" x14ac:dyDescent="0.25">
      <c r="B12" t="s">
        <v>18</v>
      </c>
      <c r="C12" t="s">
        <v>19</v>
      </c>
      <c r="D12" s="1">
        <f>SUM(D8:D11)</f>
        <v>57533333</v>
      </c>
    </row>
    <row r="13" spans="1:9" x14ac:dyDescent="0.25">
      <c r="A13" t="s">
        <v>20</v>
      </c>
      <c r="D13" s="1"/>
      <c r="I13" s="3"/>
    </row>
    <row r="14" spans="1:9" x14ac:dyDescent="0.25">
      <c r="A14">
        <v>8</v>
      </c>
      <c r="B14" t="s">
        <v>65</v>
      </c>
      <c r="I14" s="4"/>
    </row>
    <row r="15" spans="1:9" x14ac:dyDescent="0.25">
      <c r="B15" t="s">
        <v>21</v>
      </c>
      <c r="D15" s="1">
        <v>15000000</v>
      </c>
      <c r="I15" s="4"/>
    </row>
    <row r="16" spans="1:9" x14ac:dyDescent="0.25">
      <c r="B16" t="s">
        <v>22</v>
      </c>
      <c r="D16" s="1">
        <v>18000000</v>
      </c>
      <c r="I16" s="4"/>
    </row>
    <row r="17" spans="1:10" x14ac:dyDescent="0.25">
      <c r="B17" t="s">
        <v>23</v>
      </c>
      <c r="D17" s="1">
        <v>9600000</v>
      </c>
      <c r="I17" s="4"/>
    </row>
    <row r="18" spans="1:10" x14ac:dyDescent="0.25">
      <c r="B18" t="s">
        <v>24</v>
      </c>
      <c r="D18" s="1">
        <v>20000000</v>
      </c>
      <c r="I18" s="4"/>
      <c r="J18" s="1"/>
    </row>
    <row r="19" spans="1:10" x14ac:dyDescent="0.25">
      <c r="B19" t="s">
        <v>25</v>
      </c>
      <c r="D19" s="1">
        <f>SUM(D15:D18)</f>
        <v>62600000</v>
      </c>
      <c r="I19" s="4"/>
    </row>
    <row r="20" spans="1:10" x14ac:dyDescent="0.25">
      <c r="A20">
        <v>9</v>
      </c>
      <c r="B20" t="s">
        <v>26</v>
      </c>
      <c r="C20" t="s">
        <v>27</v>
      </c>
      <c r="D20" s="1">
        <v>4000000</v>
      </c>
      <c r="I20" s="4"/>
    </row>
    <row r="21" spans="1:10" x14ac:dyDescent="0.25">
      <c r="A21">
        <v>10</v>
      </c>
      <c r="B21" t="s">
        <v>28</v>
      </c>
      <c r="C21" t="s">
        <v>29</v>
      </c>
      <c r="D21" s="1">
        <v>1500000</v>
      </c>
      <c r="I21" s="4"/>
    </row>
    <row r="22" spans="1:10" x14ac:dyDescent="0.25">
      <c r="A22">
        <v>11</v>
      </c>
      <c r="B22" t="s">
        <v>30</v>
      </c>
      <c r="C22" t="s">
        <v>31</v>
      </c>
      <c r="D22" s="1">
        <v>10000000</v>
      </c>
      <c r="I22" s="4"/>
    </row>
    <row r="23" spans="1:10" x14ac:dyDescent="0.25">
      <c r="B23" t="s">
        <v>32</v>
      </c>
      <c r="D23" s="1">
        <f>SUM(D19:D22)</f>
        <v>78100000</v>
      </c>
      <c r="I23" s="4"/>
    </row>
    <row r="24" spans="1:10" x14ac:dyDescent="0.25">
      <c r="A24" t="s">
        <v>33</v>
      </c>
      <c r="I24" s="4"/>
    </row>
    <row r="25" spans="1:10" x14ac:dyDescent="0.25">
      <c r="A25">
        <v>12</v>
      </c>
      <c r="B25" t="s">
        <v>34</v>
      </c>
      <c r="I25" s="4"/>
    </row>
    <row r="26" spans="1:10" x14ac:dyDescent="0.25">
      <c r="B26" t="s">
        <v>35</v>
      </c>
      <c r="D26" s="1">
        <v>9000000</v>
      </c>
      <c r="I26" s="4"/>
    </row>
    <row r="27" spans="1:10" x14ac:dyDescent="0.25">
      <c r="B27" t="s">
        <v>36</v>
      </c>
      <c r="D27" s="1">
        <v>14400000</v>
      </c>
      <c r="I27" s="4"/>
    </row>
    <row r="28" spans="1:10" x14ac:dyDescent="0.25">
      <c r="B28" t="s">
        <v>37</v>
      </c>
      <c r="D28" s="1">
        <v>4200000</v>
      </c>
    </row>
    <row r="29" spans="1:10" x14ac:dyDescent="0.25">
      <c r="B29" t="s">
        <v>38</v>
      </c>
      <c r="D29" s="1">
        <v>2000000</v>
      </c>
    </row>
    <row r="30" spans="1:10" x14ac:dyDescent="0.25">
      <c r="B30" t="s">
        <v>39</v>
      </c>
      <c r="D30" s="1">
        <v>29600000</v>
      </c>
    </row>
    <row r="31" spans="1:10" x14ac:dyDescent="0.25">
      <c r="B31" t="s">
        <v>40</v>
      </c>
      <c r="D31" s="1">
        <f>SUM(D26:D30)</f>
        <v>59200000</v>
      </c>
    </row>
    <row r="32" spans="1:10" x14ac:dyDescent="0.25">
      <c r="A32" t="s">
        <v>41</v>
      </c>
    </row>
    <row r="33" spans="1:4" x14ac:dyDescent="0.25">
      <c r="A33">
        <v>13</v>
      </c>
      <c r="B33" t="s">
        <v>42</v>
      </c>
      <c r="C33" t="s">
        <v>43</v>
      </c>
      <c r="D33" s="1">
        <v>1200000</v>
      </c>
    </row>
    <row r="34" spans="1:4" x14ac:dyDescent="0.25">
      <c r="A34">
        <v>14</v>
      </c>
      <c r="B34" t="s">
        <v>44</v>
      </c>
      <c r="C34" t="s">
        <v>45</v>
      </c>
      <c r="D34" s="1">
        <v>600000</v>
      </c>
    </row>
    <row r="35" spans="1:4" x14ac:dyDescent="0.25">
      <c r="A35">
        <v>15</v>
      </c>
      <c r="B35" t="s">
        <v>46</v>
      </c>
      <c r="C35" t="s">
        <v>47</v>
      </c>
      <c r="D35" s="1">
        <v>12000000</v>
      </c>
    </row>
    <row r="36" spans="1:4" x14ac:dyDescent="0.25">
      <c r="A36">
        <v>16</v>
      </c>
      <c r="B36" t="s">
        <v>48</v>
      </c>
      <c r="D36" s="1">
        <v>400000</v>
      </c>
    </row>
    <row r="37" spans="1:4" x14ac:dyDescent="0.25">
      <c r="B37" t="s">
        <v>49</v>
      </c>
      <c r="D37" s="1">
        <f>SUM(D33:D36)</f>
        <v>14200000</v>
      </c>
    </row>
    <row r="38" spans="1:4" x14ac:dyDescent="0.25">
      <c r="B38" t="s">
        <v>50</v>
      </c>
      <c r="C38" t="s">
        <v>51</v>
      </c>
      <c r="D38" s="1">
        <f>D12+D23+D31+D37</f>
        <v>209033333</v>
      </c>
    </row>
    <row r="39" spans="1:4" x14ac:dyDescent="0.25">
      <c r="A39" t="s">
        <v>52</v>
      </c>
    </row>
    <row r="40" spans="1:4" x14ac:dyDescent="0.25">
      <c r="A40" t="s">
        <v>53</v>
      </c>
    </row>
    <row r="41" spans="1:4" x14ac:dyDescent="0.25">
      <c r="A41">
        <v>17</v>
      </c>
      <c r="B41" t="s">
        <v>54</v>
      </c>
      <c r="D41" s="1">
        <v>22000000</v>
      </c>
    </row>
    <row r="42" spans="1:4" x14ac:dyDescent="0.25">
      <c r="A42">
        <v>18</v>
      </c>
      <c r="B42" t="s">
        <v>55</v>
      </c>
      <c r="D42" s="1">
        <v>22000000</v>
      </c>
    </row>
    <row r="43" spans="1:4" x14ac:dyDescent="0.25">
      <c r="B43" t="s">
        <v>56</v>
      </c>
      <c r="D43" s="1">
        <f>SUM(D41:D42)</f>
        <v>44000000</v>
      </c>
    </row>
    <row r="44" spans="1:4" x14ac:dyDescent="0.25">
      <c r="A44" t="s">
        <v>57</v>
      </c>
    </row>
    <row r="45" spans="1:4" x14ac:dyDescent="0.25">
      <c r="A45">
        <v>19</v>
      </c>
      <c r="B45" t="s">
        <v>58</v>
      </c>
      <c r="D45" s="1">
        <v>12000000</v>
      </c>
    </row>
    <row r="46" spans="1:4" x14ac:dyDescent="0.25">
      <c r="B46" t="s">
        <v>59</v>
      </c>
      <c r="C46" t="s">
        <v>60</v>
      </c>
      <c r="D46" s="1">
        <f>D41+D42+D45</f>
        <v>56000000</v>
      </c>
    </row>
    <row r="47" spans="1:4" x14ac:dyDescent="0.25">
      <c r="A47" t="s">
        <v>61</v>
      </c>
    </row>
    <row r="48" spans="1:4" x14ac:dyDescent="0.25">
      <c r="B48" t="s">
        <v>62</v>
      </c>
      <c r="D48" s="1">
        <f>D38+D46</f>
        <v>265033333</v>
      </c>
    </row>
    <row r="49" spans="2:4" x14ac:dyDescent="0.25">
      <c r="B49" t="s">
        <v>63</v>
      </c>
      <c r="D49" s="1">
        <f>D48/C3</f>
        <v>779509.80294117646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Грачев</dc:creator>
  <cp:lastModifiedBy>Даниил Грачев</cp:lastModifiedBy>
  <dcterms:created xsi:type="dcterms:W3CDTF">2025-12-21T16:32:37Z</dcterms:created>
  <dcterms:modified xsi:type="dcterms:W3CDTF">2025-12-21T19:01:11Z</dcterms:modified>
</cp:coreProperties>
</file>